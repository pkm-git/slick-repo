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ackup\Neha\Jobs\Albany_Medical_Center\Work_Place_Tasks\"/>
    </mc:Choice>
  </mc:AlternateContent>
  <xr:revisionPtr revIDLastSave="0" documentId="13_ncr:1_{846C3C9E-B55C-499D-9C51-4B61393D0F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mographics" sheetId="1" r:id="rId1"/>
    <sheet name="pain score" sheetId="2" r:id="rId2"/>
  </sheets>
  <calcPr calcId="181029"/>
</workbook>
</file>

<file path=xl/calcChain.xml><?xml version="1.0" encoding="utf-8"?>
<calcChain xmlns="http://schemas.openxmlformats.org/spreadsheetml/2006/main">
  <c r="K3" i="1" l="1"/>
  <c r="B8" i="2"/>
</calcChain>
</file>

<file path=xl/sharedStrings.xml><?xml version="1.0" encoding="utf-8"?>
<sst xmlns="http://schemas.openxmlformats.org/spreadsheetml/2006/main" count="519" uniqueCount="297">
  <si>
    <t>Total</t>
  </si>
  <si>
    <t>Music</t>
  </si>
  <si>
    <t>Mindfulness</t>
  </si>
  <si>
    <t>Mindful Listening</t>
  </si>
  <si>
    <t>Canine</t>
  </si>
  <si>
    <t>Aromatherapy</t>
  </si>
  <si>
    <t>Art</t>
  </si>
  <si>
    <t>N=2,007</t>
  </si>
  <si>
    <t>N=1,808</t>
  </si>
  <si>
    <t>N=50</t>
  </si>
  <si>
    <t>N=75</t>
  </si>
  <si>
    <t>N=120</t>
  </si>
  <si>
    <t>N=325</t>
  </si>
  <si>
    <t>N=39</t>
  </si>
  <si>
    <t>Age of Patient</t>
  </si>
  <si>
    <t>63.75 (18.69)</t>
  </si>
  <si>
    <t>64.71 (18.14)</t>
  </si>
  <si>
    <t>55.48 (22.56)</t>
  </si>
  <si>
    <t>61.96 (19.08)</t>
  </si>
  <si>
    <t>62.67 (18.26)</t>
  </si>
  <si>
    <t>64.80 (18.26)</t>
  </si>
  <si>
    <t>38.13 (17.63)</t>
  </si>
  <si>
    <t>Sex of Patient</t>
  </si>
  <si>
    <t>Male</t>
  </si>
  <si>
    <t>858 (42.75%)</t>
  </si>
  <si>
    <t>782 (43.25%)</t>
  </si>
  <si>
    <t>18 (36.00%)</t>
  </si>
  <si>
    <t>23 (30.67%)</t>
  </si>
  <si>
    <t>59 (49.17%)</t>
  </si>
  <si>
    <t>120 (36.92%)</t>
  </si>
  <si>
    <t>4 (10.26%)</t>
  </si>
  <si>
    <t>Female</t>
  </si>
  <si>
    <t>1,148 (57.20%)</t>
  </si>
  <si>
    <t>1,025 (56.69%)</t>
  </si>
  <si>
    <t>32 (64.00%)</t>
  </si>
  <si>
    <t>52 (69.33%)</t>
  </si>
  <si>
    <t>61 (50.83%)</t>
  </si>
  <si>
    <t>205 (63.08%)</t>
  </si>
  <si>
    <t>35 (89.74%)</t>
  </si>
  <si>
    <t>Other</t>
  </si>
  <si>
    <t>1 (0.05%)</t>
  </si>
  <si>
    <t>1 (0.06%)</t>
  </si>
  <si>
    <t>0 (0.00%)</t>
  </si>
  <si>
    <t>Race/Ethnicity</t>
  </si>
  <si>
    <t>Asian</t>
  </si>
  <si>
    <t>11 (0.55%)</t>
  </si>
  <si>
    <t>9 (0.50%)</t>
  </si>
  <si>
    <t>1 (2.00%)</t>
  </si>
  <si>
    <t>2 (0.62%)</t>
  </si>
  <si>
    <t>1 (2.56%)</t>
  </si>
  <si>
    <t>Hispanic or Latino</t>
  </si>
  <si>
    <t>49 (2.44%)</t>
  </si>
  <si>
    <t>42 (2.32%)</t>
  </si>
  <si>
    <t>4 (8.00%)</t>
  </si>
  <si>
    <t>4 (5.33%)</t>
  </si>
  <si>
    <t>1 (0.83%)</t>
  </si>
  <si>
    <t>4 (1.23%)</t>
  </si>
  <si>
    <t>2 (5.13%)</t>
  </si>
  <si>
    <t>Black / African American</t>
  </si>
  <si>
    <t>227 (11.31%)</t>
  </si>
  <si>
    <t>210 (11.62%)</t>
  </si>
  <si>
    <t>5 (10.00%)</t>
  </si>
  <si>
    <t>13 (17.33%)</t>
  </si>
  <si>
    <t>5 (4.17%)</t>
  </si>
  <si>
    <t>44 (13.54%)</t>
  </si>
  <si>
    <t>3 (7.69%)</t>
  </si>
  <si>
    <t>White / Caucasian</t>
  </si>
  <si>
    <t>1,668 (83.11%)</t>
  </si>
  <si>
    <t>1,502 (83.08%)</t>
  </si>
  <si>
    <t>35 (70.00%)</t>
  </si>
  <si>
    <t>58 (77.33%)</t>
  </si>
  <si>
    <t>111 (92.50%)</t>
  </si>
  <si>
    <t>266 (81.85%)</t>
  </si>
  <si>
    <t>32 (82.05%)</t>
  </si>
  <si>
    <t>Middle Eastern / North African</t>
  </si>
  <si>
    <t>25 (1.25%)</t>
  </si>
  <si>
    <t>19 (1.05%)</t>
  </si>
  <si>
    <t>2 (1.67%)</t>
  </si>
  <si>
    <t>Multiple Ethnicity / Other</t>
  </si>
  <si>
    <t>14 (0.70%)</t>
  </si>
  <si>
    <t>13 (0.72%)</t>
  </si>
  <si>
    <t>3 (0.92%)</t>
  </si>
  <si>
    <t>Declined to Specify / Unknown</t>
  </si>
  <si>
    <t>13 (0.65%)</t>
  </si>
  <si>
    <t>ESI Level</t>
  </si>
  <si>
    <t>4 (0.20%)</t>
  </si>
  <si>
    <t>4 (0.22%)</t>
  </si>
  <si>
    <t>796 (39.66%)</t>
  </si>
  <si>
    <t>737 (40.76%)</t>
  </si>
  <si>
    <t>21 (42.00%)</t>
  </si>
  <si>
    <t>28 (37.33%)</t>
  </si>
  <si>
    <t>44 (36.67%)</t>
  </si>
  <si>
    <t>138 (42.46%)</t>
  </si>
  <si>
    <t>7 (17.95%)</t>
  </si>
  <si>
    <t>1,146 (57.10%)</t>
  </si>
  <si>
    <t>1,014 (56.08%)</t>
  </si>
  <si>
    <t>27 (54.00%)</t>
  </si>
  <si>
    <t>46 (61.33%)</t>
  </si>
  <si>
    <t>74 (61.67%)</t>
  </si>
  <si>
    <t>177 (54.46%)</t>
  </si>
  <si>
    <t>30 (76.92%)</t>
  </si>
  <si>
    <t>50 (2.49%)</t>
  </si>
  <si>
    <t>2 (4.00%)</t>
  </si>
  <si>
    <t>1 (1.33%)</t>
  </si>
  <si>
    <t>8 (2.46%)</t>
  </si>
  <si>
    <t>2 (0.10%)</t>
  </si>
  <si>
    <t>2 (0.11%)</t>
  </si>
  <si>
    <t>Missing</t>
  </si>
  <si>
    <t>9 (0.45%)</t>
  </si>
  <si>
    <t>Chronic pain condition diagnosis</t>
  </si>
  <si>
    <t>Cancer</t>
  </si>
  <si>
    <t>61 (3.04%)</t>
  </si>
  <si>
    <t>54 (2.99%)</t>
  </si>
  <si>
    <t>8 (10.67%)</t>
  </si>
  <si>
    <t>4 (3.33%)</t>
  </si>
  <si>
    <t>Sickle cell</t>
  </si>
  <si>
    <t>7 (0.35%)</t>
  </si>
  <si>
    <t>7 (0.39%)</t>
  </si>
  <si>
    <t>12 (0.60%)</t>
  </si>
  <si>
    <t>5 (6.67%)</t>
  </si>
  <si>
    <t>None</t>
  </si>
  <si>
    <t>1,930 (96.16%)</t>
  </si>
  <si>
    <t>1,740 (96.24%)</t>
  </si>
  <si>
    <t>48 (96.00%)</t>
  </si>
  <si>
    <t>63 (84.00%)</t>
  </si>
  <si>
    <t>116 (96.67%)</t>
  </si>
  <si>
    <t>313 (96.31%)</t>
  </si>
  <si>
    <t>39 (100.00%)</t>
  </si>
  <si>
    <t>Pain type</t>
  </si>
  <si>
    <t>Musculoskeletal</t>
  </si>
  <si>
    <t>47 (2.34%)</t>
  </si>
  <si>
    <t>39 (2.16%)</t>
  </si>
  <si>
    <t>3 (6.00%)</t>
  </si>
  <si>
    <t>Back / neck</t>
  </si>
  <si>
    <t>359 (17.89%)</t>
  </si>
  <si>
    <t>315 (17.42%)</t>
  </si>
  <si>
    <t>9 (18.00%)</t>
  </si>
  <si>
    <t>18 (24.00%)</t>
  </si>
  <si>
    <t>22 (18.33%)</t>
  </si>
  <si>
    <t>66 (20.31%)</t>
  </si>
  <si>
    <t>5 (12.82%)</t>
  </si>
  <si>
    <t>Chest</t>
  </si>
  <si>
    <t>259 (12.90%)</t>
  </si>
  <si>
    <t>248 (13.72%)</t>
  </si>
  <si>
    <t>11 (14.67%)</t>
  </si>
  <si>
    <t>12 (10.00%)</t>
  </si>
  <si>
    <t>45 (13.85%)</t>
  </si>
  <si>
    <t>Abdominal</t>
  </si>
  <si>
    <t>447 (22.27%)</t>
  </si>
  <si>
    <t>400 (22.12%)</t>
  </si>
  <si>
    <t>14 (28.00%)</t>
  </si>
  <si>
    <t>16 (21.33%)</t>
  </si>
  <si>
    <t>25 (20.83%)</t>
  </si>
  <si>
    <t>75 (23.08%)</t>
  </si>
  <si>
    <t>11 (28.21%)</t>
  </si>
  <si>
    <t>Headache</t>
  </si>
  <si>
    <t>510 (25.41%)</t>
  </si>
  <si>
    <t>452 (25.00%)</t>
  </si>
  <si>
    <t>20 (26.67%)</t>
  </si>
  <si>
    <t>41 (34.17%)</t>
  </si>
  <si>
    <t>80 (24.62%)</t>
  </si>
  <si>
    <t>Extremity</t>
  </si>
  <si>
    <t>399 (19.88%)</t>
  </si>
  <si>
    <t>364 (20.13%)</t>
  </si>
  <si>
    <t>7 (14.00%)</t>
  </si>
  <si>
    <t>23 (19.17%)</t>
  </si>
  <si>
    <t>77 (23.69%)</t>
  </si>
  <si>
    <t>6 (15.38%)</t>
  </si>
  <si>
    <t>Acute trauma</t>
  </si>
  <si>
    <t>8 (0.44%)</t>
  </si>
  <si>
    <t>16 (0.80%)</t>
  </si>
  <si>
    <t>12 (0.66%)</t>
  </si>
  <si>
    <t>194 (9.67%)</t>
  </si>
  <si>
    <t>175 (9.68%)</t>
  </si>
  <si>
    <t>6 (8.00%)</t>
  </si>
  <si>
    <t>7 (5.83%)</t>
  </si>
  <si>
    <t>22 (6.77%)</t>
  </si>
  <si>
    <t>14 (0.77%)</t>
  </si>
  <si>
    <t>Medications / interventions for pain prior to arrival?</t>
  </si>
  <si>
    <t>Yes</t>
  </si>
  <si>
    <t>11 (0.61%)</t>
  </si>
  <si>
    <t>1 (0.31%)</t>
  </si>
  <si>
    <t>No</t>
  </si>
  <si>
    <t>260 (12.95%)</t>
  </si>
  <si>
    <t>237 (13.11%)</t>
  </si>
  <si>
    <t>9 (12.00%)</t>
  </si>
  <si>
    <t>16 (4.92%)</t>
  </si>
  <si>
    <t>Not Documented</t>
  </si>
  <si>
    <t>1,724 (85.90%)</t>
  </si>
  <si>
    <t>1,551 (85.79%)</t>
  </si>
  <si>
    <t>46 (92.00%)</t>
  </si>
  <si>
    <t>66 (88.00%)</t>
  </si>
  <si>
    <t>93 (77.50%)</t>
  </si>
  <si>
    <t>308 (94.77%)</t>
  </si>
  <si>
    <t>34 (87.18%)</t>
  </si>
  <si>
    <t>3 (2.50%)</t>
  </si>
  <si>
    <t>If yes, did the patient receive IV opioids (morphine, dilaudid, fentanyl)?</t>
  </si>
  <si>
    <t>1 dose</t>
  </si>
  <si>
    <t>10 (0.55%)</t>
  </si>
  <si>
    <t>Unknown</t>
  </si>
  <si>
    <t>1,995 (99.40%)</t>
  </si>
  <si>
    <t>1,797 (99.39%)</t>
  </si>
  <si>
    <t>50 (100.00%)</t>
  </si>
  <si>
    <t>75 (100.00%)</t>
  </si>
  <si>
    <t>118 (98.33%)</t>
  </si>
  <si>
    <t>324 (99.69%)</t>
  </si>
  <si>
    <t>If yes, did the patient receive oral opioids (oxycodone, tramadol, dilaudid, hyd</t>
  </si>
  <si>
    <t>8 (0.40%)</t>
  </si>
  <si>
    <t>Has the patient received any opioids in the ED yet? (before any NPT)</t>
  </si>
  <si>
    <t>405 (20.18%)</t>
  </si>
  <si>
    <t>375 (20.74%)</t>
  </si>
  <si>
    <t>17 (22.67%)</t>
  </si>
  <si>
    <t>18 (15.00%)</t>
  </si>
  <si>
    <t>103 (31.69%)</t>
  </si>
  <si>
    <t>1,127 (56.15%)</t>
  </si>
  <si>
    <t>1,021 (56.47%)</t>
  </si>
  <si>
    <t>16 (32.00%)</t>
  </si>
  <si>
    <t>80 (66.67%)</t>
  </si>
  <si>
    <t>220 (67.69%)</t>
  </si>
  <si>
    <t>20 (51.28%)</t>
  </si>
  <si>
    <t>Not sure</t>
  </si>
  <si>
    <t>75 (3.74%)</t>
  </si>
  <si>
    <t>71 (3.93%)</t>
  </si>
  <si>
    <t>8 (6.67%)</t>
  </si>
  <si>
    <t>400 (19.93%)</t>
  </si>
  <si>
    <t>341 (18.86%)</t>
  </si>
  <si>
    <t>29 (58.00%)</t>
  </si>
  <si>
    <t>14 (11.67%)</t>
  </si>
  <si>
    <t>12 (30.77%)</t>
  </si>
  <si>
    <t>Does the patient have prior chronic opioid use?</t>
  </si>
  <si>
    <t>36 (1.79%)</t>
  </si>
  <si>
    <t>29 (1.60%)</t>
  </si>
  <si>
    <t>6 (1.85%)</t>
  </si>
  <si>
    <t>None reported</t>
  </si>
  <si>
    <t>1,457 (72.60%)</t>
  </si>
  <si>
    <t>1,322 (73.12%)</t>
  </si>
  <si>
    <t>22 (44.00%)</t>
  </si>
  <si>
    <t>57 (76.00%)</t>
  </si>
  <si>
    <t>105 (87.50%)</t>
  </si>
  <si>
    <t>307 (94.46%)</t>
  </si>
  <si>
    <t>25 (64.10%)</t>
  </si>
  <si>
    <t>Potentially - difficult to assess</t>
  </si>
  <si>
    <t>30 (1.49%)</t>
  </si>
  <si>
    <t>26 (1.44%)</t>
  </si>
  <si>
    <t>Not documented</t>
  </si>
  <si>
    <t>474 (23.62%)</t>
  </si>
  <si>
    <t>421 (23.29%)</t>
  </si>
  <si>
    <t>26 (52.00%)</t>
  </si>
  <si>
    <t>10 (0.50%)</t>
  </si>
  <si>
    <t>Does the patient have a diagnosis of opioid use disorder?</t>
  </si>
  <si>
    <t>1,456 (72.55%)</t>
  </si>
  <si>
    <t>1,323 (73.17%)</t>
  </si>
  <si>
    <t>59 (78.67%)</t>
  </si>
  <si>
    <t>103 (85.83%)</t>
  </si>
  <si>
    <t>306 (94.15%)</t>
  </si>
  <si>
    <t>Potentially - but difficult to assess</t>
  </si>
  <si>
    <t>35 (1.74%)</t>
  </si>
  <si>
    <t>32 (1.77%)</t>
  </si>
  <si>
    <t>11 (3.38%)</t>
  </si>
  <si>
    <t>477 (23.77%)</t>
  </si>
  <si>
    <t>10 (13.33%)</t>
  </si>
  <si>
    <t>13 (10.83%)</t>
  </si>
  <si>
    <t>NPT</t>
  </si>
  <si>
    <t>N</t>
  </si>
  <si>
    <t>Pain score pre-intervention [95% CI]</t>
  </si>
  <si>
    <t>Pain score post-intervention [95% CI]</t>
  </si>
  <si>
    <t>Pain score difference [95% CI]</t>
  </si>
  <si>
    <t>Relative % Decrease [95% CI]</t>
  </si>
  <si>
    <t>Paired t-test p-value</t>
  </si>
  <si>
    <t>3.88 (3.75, 4)</t>
  </si>
  <si>
    <t>2.98 (2.88, 3.08)</t>
  </si>
  <si>
    <t>0.89 (0.83, 0.96)</t>
  </si>
  <si>
    <t>17.4 (15.6, 19.2)</t>
  </si>
  <si>
    <t>&lt;0.001</t>
  </si>
  <si>
    <t>Mindfulness app</t>
  </si>
  <si>
    <t>4.46 (3.47, 5.44)</t>
  </si>
  <si>
    <t>3.69 (2.72, 4.65)</t>
  </si>
  <si>
    <t>0.77 (0.46, 1.08)</t>
  </si>
  <si>
    <t>17.63 (7.08, 28.19)</t>
  </si>
  <si>
    <t>Mindful listening</t>
  </si>
  <si>
    <t>5.33 (3.79, 6.88)</t>
  </si>
  <si>
    <t>4 (2.57, 5.43)</t>
  </si>
  <si>
    <t>1.33 (0.68, 1.98)</t>
  </si>
  <si>
    <t>28.32 (12.45, 44.18)</t>
  </si>
  <si>
    <t>Canine therapy</t>
  </si>
  <si>
    <t>3.77 (3.35, 4.18)</t>
  </si>
  <si>
    <t>2.23 (1.93, 2.53)</t>
  </si>
  <si>
    <t>1.54 (1.28, 1.8)</t>
  </si>
  <si>
    <t>37.33 (29.38, 45.28)</t>
  </si>
  <si>
    <t>5 (-7.71, 17.71)</t>
  </si>
  <si>
    <t>3 (3, 3)</t>
  </si>
  <si>
    <t>2 (-10.71, 14.71)</t>
  </si>
  <si>
    <t>37.5 (-121.33, 196.33)</t>
  </si>
  <si>
    <t>4.48 (3.64, 5.33)</t>
  </si>
  <si>
    <t>3.06 (2.42, 3.7)</t>
  </si>
  <si>
    <t>1.42 (1.04, 1.81)</t>
  </si>
  <si>
    <t>29.26 (21.81, 36.7)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</si>
</sst>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0"/>
  <sheetViews>
    <sheetView tabSelected="1" workbookViewId="0">
      <selection activeCell="D12" sqref="D12"/>
    </sheetView>
  </sheetViews>
  <sheetFormatPr defaultColWidth="12.5703125" defaultRowHeight="15.75" customHeight="1" x14ac:dyDescent="0.2"/>
  <cols>
    <col min="1" max="1" width="22.140625" customWidth="1"/>
    <col min="2" max="2" width="27.42578125" customWidth="1"/>
    <col min="6" max="6" width="13.42578125" customWidth="1"/>
    <col min="7" max="7" width="15" customWidth="1"/>
  </cols>
  <sheetData>
    <row r="1" spans="1:11" ht="15.75" customHeight="1" x14ac:dyDescent="0.25">
      <c r="A1" s="1"/>
      <c r="B1" s="1"/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1" ht="15.75" customHeight="1" x14ac:dyDescent="0.25">
      <c r="A2" s="1"/>
      <c r="B2" s="1"/>
      <c r="C2" s="2">
        <v>2007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</row>
    <row r="3" spans="1:11" ht="15.75" customHeight="1" x14ac:dyDescent="0.25">
      <c r="A3" s="1"/>
      <c r="B3" s="1"/>
      <c r="C3" s="2"/>
      <c r="D3" s="1"/>
      <c r="E3" s="1">
        <v>1808</v>
      </c>
      <c r="F3" s="1">
        <v>50</v>
      </c>
      <c r="G3" s="1">
        <v>75</v>
      </c>
      <c r="H3" s="1">
        <v>120</v>
      </c>
      <c r="I3" s="1">
        <v>325</v>
      </c>
      <c r="J3" s="1">
        <v>39</v>
      </c>
      <c r="K3">
        <f>SUM(E3:J3)</f>
        <v>2417</v>
      </c>
    </row>
    <row r="4" spans="1:11" ht="15.75" customHeight="1" x14ac:dyDescent="0.25">
      <c r="A4" s="1" t="s">
        <v>14</v>
      </c>
      <c r="B4" s="1"/>
      <c r="C4" s="2">
        <v>2003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</row>
    <row r="5" spans="1:11" ht="15.75" customHeight="1" x14ac:dyDescent="0.25">
      <c r="A5" s="1" t="s">
        <v>22</v>
      </c>
      <c r="B5" s="1" t="s">
        <v>23</v>
      </c>
      <c r="C5" s="2">
        <v>2007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</row>
    <row r="6" spans="1:11" ht="15.75" customHeight="1" x14ac:dyDescent="0.25">
      <c r="A6" s="1"/>
      <c r="B6" s="1" t="s">
        <v>31</v>
      </c>
      <c r="C6" s="1"/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38</v>
      </c>
    </row>
    <row r="7" spans="1:11" ht="15.75" customHeight="1" x14ac:dyDescent="0.25">
      <c r="A7" s="1"/>
      <c r="B7" s="1" t="s">
        <v>39</v>
      </c>
      <c r="C7" s="1"/>
      <c r="D7" s="1" t="s">
        <v>40</v>
      </c>
      <c r="E7" s="1" t="s">
        <v>41</v>
      </c>
      <c r="F7" s="1" t="s">
        <v>42</v>
      </c>
      <c r="G7" s="1" t="s">
        <v>42</v>
      </c>
      <c r="H7" s="1" t="s">
        <v>42</v>
      </c>
      <c r="I7" s="1" t="s">
        <v>42</v>
      </c>
      <c r="J7" s="1" t="s">
        <v>42</v>
      </c>
    </row>
    <row r="8" spans="1:11" ht="15.75" customHeight="1" x14ac:dyDescent="0.25">
      <c r="A8" s="3" t="s">
        <v>43</v>
      </c>
      <c r="B8" s="1" t="s">
        <v>44</v>
      </c>
      <c r="C8" s="2">
        <v>2007</v>
      </c>
      <c r="D8" s="1" t="s">
        <v>45</v>
      </c>
      <c r="E8" s="1" t="s">
        <v>46</v>
      </c>
      <c r="F8" s="1" t="s">
        <v>47</v>
      </c>
      <c r="G8" s="1" t="s">
        <v>42</v>
      </c>
      <c r="H8" s="1" t="s">
        <v>42</v>
      </c>
      <c r="I8" s="1" t="s">
        <v>48</v>
      </c>
      <c r="J8" s="1" t="s">
        <v>49</v>
      </c>
    </row>
    <row r="9" spans="1:11" ht="15.75" customHeight="1" x14ac:dyDescent="0.25">
      <c r="A9" s="1"/>
      <c r="B9" s="1" t="s">
        <v>50</v>
      </c>
      <c r="C9" s="1"/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56</v>
      </c>
      <c r="J9" s="1" t="s">
        <v>57</v>
      </c>
    </row>
    <row r="10" spans="1:11" ht="15.75" customHeight="1" x14ac:dyDescent="0.25">
      <c r="A10" s="1"/>
      <c r="B10" s="1" t="s">
        <v>58</v>
      </c>
      <c r="C10" s="1"/>
      <c r="D10" s="1" t="s">
        <v>59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64</v>
      </c>
      <c r="J10" s="1" t="s">
        <v>65</v>
      </c>
    </row>
    <row r="11" spans="1:11" ht="15.75" customHeight="1" x14ac:dyDescent="0.25">
      <c r="A11" s="1"/>
      <c r="B11" s="1" t="s">
        <v>66</v>
      </c>
      <c r="C11" s="1"/>
      <c r="D11" s="1" t="s">
        <v>67</v>
      </c>
      <c r="E11" s="1" t="s">
        <v>68</v>
      </c>
      <c r="F11" s="1" t="s">
        <v>69</v>
      </c>
      <c r="G11" s="1" t="s">
        <v>70</v>
      </c>
      <c r="H11" s="1" t="s">
        <v>71</v>
      </c>
      <c r="I11" s="1" t="s">
        <v>72</v>
      </c>
      <c r="J11" s="1" t="s">
        <v>73</v>
      </c>
    </row>
    <row r="12" spans="1:11" ht="15.75" customHeight="1" x14ac:dyDescent="0.25">
      <c r="A12" s="1"/>
      <c r="B12" s="1" t="s">
        <v>74</v>
      </c>
      <c r="C12" s="1"/>
      <c r="D12" s="1" t="s">
        <v>75</v>
      </c>
      <c r="E12" s="1" t="s">
        <v>76</v>
      </c>
      <c r="F12" s="1" t="s">
        <v>53</v>
      </c>
      <c r="G12" s="1" t="s">
        <v>42</v>
      </c>
      <c r="H12" s="1" t="s">
        <v>77</v>
      </c>
      <c r="I12" s="1" t="s">
        <v>56</v>
      </c>
      <c r="J12" s="1" t="s">
        <v>49</v>
      </c>
    </row>
    <row r="13" spans="1:11" ht="15.75" customHeight="1" x14ac:dyDescent="0.25">
      <c r="A13" s="1"/>
      <c r="B13" s="1" t="s">
        <v>78</v>
      </c>
      <c r="C13" s="1"/>
      <c r="D13" s="1" t="s">
        <v>79</v>
      </c>
      <c r="E13" s="1" t="s">
        <v>80</v>
      </c>
      <c r="F13" s="1" t="s">
        <v>47</v>
      </c>
      <c r="G13" s="1" t="s">
        <v>42</v>
      </c>
      <c r="H13" s="1" t="s">
        <v>55</v>
      </c>
      <c r="I13" s="1" t="s">
        <v>81</v>
      </c>
      <c r="J13" s="1" t="s">
        <v>42</v>
      </c>
    </row>
    <row r="14" spans="1:11" ht="15" x14ac:dyDescent="0.25">
      <c r="A14" s="1"/>
      <c r="B14" s="1" t="s">
        <v>82</v>
      </c>
      <c r="C14" s="1"/>
      <c r="D14" s="1" t="s">
        <v>83</v>
      </c>
      <c r="E14" s="1" t="s">
        <v>80</v>
      </c>
      <c r="F14" s="1" t="s">
        <v>42</v>
      </c>
      <c r="G14" s="1" t="s">
        <v>42</v>
      </c>
      <c r="H14" s="1" t="s">
        <v>42</v>
      </c>
      <c r="I14" s="1" t="s">
        <v>48</v>
      </c>
      <c r="J14" s="1" t="s">
        <v>42</v>
      </c>
    </row>
    <row r="15" spans="1:11" ht="15" x14ac:dyDescent="0.25">
      <c r="A15" s="1" t="s">
        <v>84</v>
      </c>
      <c r="B15" s="1">
        <v>1</v>
      </c>
      <c r="C15" s="2">
        <v>2007</v>
      </c>
      <c r="D15" s="1" t="s">
        <v>85</v>
      </c>
      <c r="E15" s="1" t="s">
        <v>86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</row>
    <row r="16" spans="1:11" ht="15" x14ac:dyDescent="0.25">
      <c r="A16" s="1"/>
      <c r="B16" s="1">
        <v>2</v>
      </c>
      <c r="C16" s="1"/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</row>
    <row r="17" spans="1:10" ht="15" x14ac:dyDescent="0.25">
      <c r="A17" s="1"/>
      <c r="B17" s="1">
        <v>3</v>
      </c>
      <c r="C17" s="1"/>
      <c r="D17" s="1" t="s">
        <v>94</v>
      </c>
      <c r="E17" s="1" t="s">
        <v>95</v>
      </c>
      <c r="F17" s="1" t="s">
        <v>96</v>
      </c>
      <c r="G17" s="1" t="s">
        <v>97</v>
      </c>
      <c r="H17" s="1" t="s">
        <v>98</v>
      </c>
      <c r="I17" s="1" t="s">
        <v>99</v>
      </c>
      <c r="J17" s="1" t="s">
        <v>100</v>
      </c>
    </row>
    <row r="18" spans="1:10" ht="15" x14ac:dyDescent="0.25">
      <c r="A18" s="1"/>
      <c r="B18" s="1">
        <v>4</v>
      </c>
      <c r="C18" s="1"/>
      <c r="D18" s="1" t="s">
        <v>101</v>
      </c>
      <c r="E18" s="1" t="s">
        <v>52</v>
      </c>
      <c r="F18" s="1" t="s">
        <v>102</v>
      </c>
      <c r="G18" s="1" t="s">
        <v>103</v>
      </c>
      <c r="H18" s="1" t="s">
        <v>77</v>
      </c>
      <c r="I18" s="1" t="s">
        <v>104</v>
      </c>
      <c r="J18" s="1" t="s">
        <v>57</v>
      </c>
    </row>
    <row r="19" spans="1:10" ht="15" x14ac:dyDescent="0.25">
      <c r="A19" s="1"/>
      <c r="B19" s="1">
        <v>5</v>
      </c>
      <c r="C19" s="1"/>
      <c r="D19" s="1" t="s">
        <v>105</v>
      </c>
      <c r="E19" s="1" t="s">
        <v>106</v>
      </c>
      <c r="F19" s="1" t="s">
        <v>42</v>
      </c>
      <c r="G19" s="1" t="s">
        <v>42</v>
      </c>
      <c r="H19" s="1" t="s">
        <v>42</v>
      </c>
      <c r="I19" s="1" t="s">
        <v>42</v>
      </c>
      <c r="J19" s="1" t="s">
        <v>42</v>
      </c>
    </row>
    <row r="20" spans="1:10" ht="15" x14ac:dyDescent="0.25">
      <c r="A20" s="1"/>
      <c r="B20" s="1" t="s">
        <v>107</v>
      </c>
      <c r="C20" s="1"/>
      <c r="D20" s="1" t="s">
        <v>108</v>
      </c>
      <c r="E20" s="1" t="s">
        <v>46</v>
      </c>
      <c r="F20" s="1" t="s">
        <v>42</v>
      </c>
      <c r="G20" s="1" t="s">
        <v>42</v>
      </c>
      <c r="H20" s="1" t="s">
        <v>42</v>
      </c>
      <c r="I20" s="1" t="s">
        <v>48</v>
      </c>
      <c r="J20" s="1" t="s">
        <v>42</v>
      </c>
    </row>
    <row r="21" spans="1:10" ht="15" x14ac:dyDescent="0.25">
      <c r="A21" s="3" t="s">
        <v>109</v>
      </c>
      <c r="B21" s="1" t="s">
        <v>110</v>
      </c>
      <c r="C21" s="1"/>
      <c r="D21" s="1" t="s">
        <v>111</v>
      </c>
      <c r="E21" s="1" t="s">
        <v>112</v>
      </c>
      <c r="F21" s="1" t="s">
        <v>47</v>
      </c>
      <c r="G21" s="1" t="s">
        <v>113</v>
      </c>
      <c r="H21" s="1" t="s">
        <v>114</v>
      </c>
      <c r="I21" s="1" t="s">
        <v>104</v>
      </c>
      <c r="J21" s="1" t="s">
        <v>42</v>
      </c>
    </row>
    <row r="22" spans="1:10" ht="15" x14ac:dyDescent="0.25">
      <c r="A22" s="1"/>
      <c r="B22" s="1" t="s">
        <v>115</v>
      </c>
      <c r="C22" s="1"/>
      <c r="D22" s="1" t="s">
        <v>116</v>
      </c>
      <c r="E22" s="1" t="s">
        <v>117</v>
      </c>
      <c r="F22" s="1" t="s">
        <v>42</v>
      </c>
      <c r="G22" s="1" t="s">
        <v>103</v>
      </c>
      <c r="H22" s="1" t="s">
        <v>42</v>
      </c>
      <c r="I22" s="1" t="s">
        <v>42</v>
      </c>
      <c r="J22" s="1" t="s">
        <v>42</v>
      </c>
    </row>
    <row r="23" spans="1:10" ht="15" x14ac:dyDescent="0.25">
      <c r="A23" s="1"/>
      <c r="B23" s="1" t="s">
        <v>39</v>
      </c>
      <c r="C23" s="1"/>
      <c r="D23" s="1" t="s">
        <v>118</v>
      </c>
      <c r="E23" s="1" t="s">
        <v>46</v>
      </c>
      <c r="F23" s="1" t="s">
        <v>47</v>
      </c>
      <c r="G23" s="1" t="s">
        <v>119</v>
      </c>
      <c r="H23" s="1" t="s">
        <v>42</v>
      </c>
      <c r="I23" s="1" t="s">
        <v>56</v>
      </c>
      <c r="J23" s="1" t="s">
        <v>42</v>
      </c>
    </row>
    <row r="24" spans="1:10" ht="15" x14ac:dyDescent="0.25">
      <c r="A24" s="1"/>
      <c r="B24" s="1" t="s">
        <v>120</v>
      </c>
      <c r="C24" s="1"/>
      <c r="D24" s="1" t="s">
        <v>121</v>
      </c>
      <c r="E24" s="1" t="s">
        <v>122</v>
      </c>
      <c r="F24" s="1" t="s">
        <v>123</v>
      </c>
      <c r="G24" s="1" t="s">
        <v>124</v>
      </c>
      <c r="H24" s="1" t="s">
        <v>125</v>
      </c>
      <c r="I24" s="1" t="s">
        <v>126</v>
      </c>
      <c r="J24" s="1" t="s">
        <v>127</v>
      </c>
    </row>
    <row r="25" spans="1:10" ht="15" x14ac:dyDescent="0.25">
      <c r="A25" s="1"/>
      <c r="B25" s="1" t="s">
        <v>107</v>
      </c>
      <c r="C25" s="1"/>
      <c r="D25" s="1" t="s">
        <v>40</v>
      </c>
      <c r="E25" s="1" t="s">
        <v>41</v>
      </c>
      <c r="F25" s="1" t="s">
        <v>42</v>
      </c>
      <c r="G25" s="1" t="s">
        <v>42</v>
      </c>
      <c r="H25" s="1" t="s">
        <v>42</v>
      </c>
      <c r="I25" s="1" t="s">
        <v>42</v>
      </c>
      <c r="J25" s="1" t="s">
        <v>42</v>
      </c>
    </row>
    <row r="26" spans="1:10" ht="15" x14ac:dyDescent="0.25">
      <c r="A26" s="1" t="s">
        <v>128</v>
      </c>
      <c r="B26" s="1" t="s">
        <v>129</v>
      </c>
      <c r="C26" s="1"/>
      <c r="D26" s="1" t="s">
        <v>130</v>
      </c>
      <c r="E26" s="1" t="s">
        <v>131</v>
      </c>
      <c r="F26" s="1" t="s">
        <v>132</v>
      </c>
      <c r="G26" s="1" t="s">
        <v>119</v>
      </c>
      <c r="H26" s="1" t="s">
        <v>55</v>
      </c>
      <c r="I26" s="1" t="s">
        <v>81</v>
      </c>
      <c r="J26" s="1" t="s">
        <v>49</v>
      </c>
    </row>
    <row r="27" spans="1:10" ht="15" x14ac:dyDescent="0.25">
      <c r="A27" s="1"/>
      <c r="B27" s="1" t="s">
        <v>133</v>
      </c>
      <c r="C27" s="1"/>
      <c r="D27" s="1" t="s">
        <v>134</v>
      </c>
      <c r="E27" s="1" t="s">
        <v>135</v>
      </c>
      <c r="F27" s="1" t="s">
        <v>136</v>
      </c>
      <c r="G27" s="1" t="s">
        <v>137</v>
      </c>
      <c r="H27" s="1" t="s">
        <v>138</v>
      </c>
      <c r="I27" s="1" t="s">
        <v>139</v>
      </c>
      <c r="J27" s="1" t="s">
        <v>140</v>
      </c>
    </row>
    <row r="28" spans="1:10" ht="15" x14ac:dyDescent="0.25">
      <c r="A28" s="1"/>
      <c r="B28" s="1" t="s">
        <v>141</v>
      </c>
      <c r="C28" s="1"/>
      <c r="D28" s="1" t="s">
        <v>142</v>
      </c>
      <c r="E28" s="1" t="s">
        <v>143</v>
      </c>
      <c r="F28" s="1" t="s">
        <v>102</v>
      </c>
      <c r="G28" s="1" t="s">
        <v>144</v>
      </c>
      <c r="H28" s="1" t="s">
        <v>145</v>
      </c>
      <c r="I28" s="1" t="s">
        <v>146</v>
      </c>
      <c r="J28" s="1" t="s">
        <v>140</v>
      </c>
    </row>
    <row r="29" spans="1:10" ht="15" x14ac:dyDescent="0.25">
      <c r="A29" s="1"/>
      <c r="B29" s="1" t="s">
        <v>147</v>
      </c>
      <c r="C29" s="1"/>
      <c r="D29" s="1" t="s">
        <v>148</v>
      </c>
      <c r="E29" s="1" t="s">
        <v>149</v>
      </c>
      <c r="F29" s="1" t="s">
        <v>150</v>
      </c>
      <c r="G29" s="1" t="s">
        <v>151</v>
      </c>
      <c r="H29" s="1" t="s">
        <v>152</v>
      </c>
      <c r="I29" s="1" t="s">
        <v>153</v>
      </c>
      <c r="J29" s="1" t="s">
        <v>154</v>
      </c>
    </row>
    <row r="30" spans="1:10" ht="15" x14ac:dyDescent="0.25">
      <c r="A30" s="1"/>
      <c r="B30" s="1" t="s">
        <v>155</v>
      </c>
      <c r="C30" s="1"/>
      <c r="D30" s="1" t="s">
        <v>156</v>
      </c>
      <c r="E30" s="1" t="s">
        <v>157</v>
      </c>
      <c r="F30" s="1" t="s">
        <v>136</v>
      </c>
      <c r="G30" s="1" t="s">
        <v>158</v>
      </c>
      <c r="H30" s="1" t="s">
        <v>159</v>
      </c>
      <c r="I30" s="1" t="s">
        <v>160</v>
      </c>
      <c r="J30" s="1" t="s">
        <v>154</v>
      </c>
    </row>
    <row r="31" spans="1:10" ht="15" x14ac:dyDescent="0.25">
      <c r="A31" s="1"/>
      <c r="B31" s="1" t="s">
        <v>161</v>
      </c>
      <c r="C31" s="1"/>
      <c r="D31" s="1" t="s">
        <v>162</v>
      </c>
      <c r="E31" s="1" t="s">
        <v>163</v>
      </c>
      <c r="F31" s="1" t="s">
        <v>164</v>
      </c>
      <c r="G31" s="1" t="s">
        <v>144</v>
      </c>
      <c r="H31" s="1" t="s">
        <v>165</v>
      </c>
      <c r="I31" s="1" t="s">
        <v>166</v>
      </c>
      <c r="J31" s="1" t="s">
        <v>167</v>
      </c>
    </row>
    <row r="32" spans="1:10" ht="15" x14ac:dyDescent="0.25">
      <c r="A32" s="1"/>
      <c r="B32" s="1" t="s">
        <v>168</v>
      </c>
      <c r="C32" s="1"/>
      <c r="D32" s="1" t="s">
        <v>108</v>
      </c>
      <c r="E32" s="1" t="s">
        <v>169</v>
      </c>
      <c r="F32" s="1" t="s">
        <v>42</v>
      </c>
      <c r="G32" s="1" t="s">
        <v>103</v>
      </c>
      <c r="H32" s="1" t="s">
        <v>42</v>
      </c>
      <c r="I32" s="1" t="s">
        <v>42</v>
      </c>
      <c r="J32" s="1" t="s">
        <v>42</v>
      </c>
    </row>
    <row r="33" spans="1:10" ht="15" x14ac:dyDescent="0.25">
      <c r="A33" s="1"/>
      <c r="B33" s="1" t="s">
        <v>168</v>
      </c>
      <c r="C33" s="1"/>
      <c r="D33" s="1" t="s">
        <v>170</v>
      </c>
      <c r="E33" s="1" t="s">
        <v>171</v>
      </c>
      <c r="F33" s="1" t="s">
        <v>102</v>
      </c>
      <c r="G33" s="1" t="s">
        <v>42</v>
      </c>
      <c r="H33" s="1" t="s">
        <v>55</v>
      </c>
      <c r="I33" s="1" t="s">
        <v>42</v>
      </c>
      <c r="J33" s="1" t="s">
        <v>42</v>
      </c>
    </row>
    <row r="34" spans="1:10" ht="15" x14ac:dyDescent="0.25">
      <c r="A34" s="1"/>
      <c r="B34" s="1" t="s">
        <v>39</v>
      </c>
      <c r="C34" s="1"/>
      <c r="D34" s="1" t="s">
        <v>172</v>
      </c>
      <c r="E34" s="1" t="s">
        <v>173</v>
      </c>
      <c r="F34" s="1" t="s">
        <v>136</v>
      </c>
      <c r="G34" s="1" t="s">
        <v>174</v>
      </c>
      <c r="H34" s="1" t="s">
        <v>175</v>
      </c>
      <c r="I34" s="1" t="s">
        <v>176</v>
      </c>
      <c r="J34" s="1" t="s">
        <v>140</v>
      </c>
    </row>
    <row r="35" spans="1:10" ht="15" x14ac:dyDescent="0.25">
      <c r="A35" s="1"/>
      <c r="B35" s="1" t="s">
        <v>107</v>
      </c>
      <c r="C35" s="1"/>
      <c r="D35" s="1" t="s">
        <v>79</v>
      </c>
      <c r="E35" s="1" t="s">
        <v>177</v>
      </c>
      <c r="F35" s="1" t="s">
        <v>42</v>
      </c>
      <c r="G35" s="1" t="s">
        <v>42</v>
      </c>
      <c r="H35" s="1" t="s">
        <v>55</v>
      </c>
      <c r="I35" s="1" t="s">
        <v>42</v>
      </c>
      <c r="J35" s="1" t="s">
        <v>42</v>
      </c>
    </row>
    <row r="36" spans="1:10" ht="15" x14ac:dyDescent="0.25">
      <c r="A36" s="3" t="s">
        <v>178</v>
      </c>
      <c r="B36" s="1" t="s">
        <v>179</v>
      </c>
      <c r="C36" s="2">
        <v>2007</v>
      </c>
      <c r="D36" s="1" t="s">
        <v>118</v>
      </c>
      <c r="E36" s="1" t="s">
        <v>180</v>
      </c>
      <c r="F36" s="1" t="s">
        <v>42</v>
      </c>
      <c r="G36" s="1" t="s">
        <v>42</v>
      </c>
      <c r="H36" s="1" t="s">
        <v>77</v>
      </c>
      <c r="I36" s="1" t="s">
        <v>181</v>
      </c>
      <c r="J36" s="1" t="s">
        <v>42</v>
      </c>
    </row>
    <row r="37" spans="1:10" ht="15" x14ac:dyDescent="0.25">
      <c r="A37" s="1"/>
      <c r="B37" s="1" t="s">
        <v>182</v>
      </c>
      <c r="C37" s="1"/>
      <c r="D37" s="1" t="s">
        <v>183</v>
      </c>
      <c r="E37" s="1" t="s">
        <v>184</v>
      </c>
      <c r="F37" s="1" t="s">
        <v>53</v>
      </c>
      <c r="G37" s="1" t="s">
        <v>185</v>
      </c>
      <c r="H37" s="1" t="s">
        <v>138</v>
      </c>
      <c r="I37" s="1" t="s">
        <v>186</v>
      </c>
      <c r="J37" s="1" t="s">
        <v>140</v>
      </c>
    </row>
    <row r="38" spans="1:10" ht="15" x14ac:dyDescent="0.25">
      <c r="A38" s="1"/>
      <c r="B38" s="1" t="s">
        <v>187</v>
      </c>
      <c r="C38" s="1"/>
      <c r="D38" s="1" t="s">
        <v>188</v>
      </c>
      <c r="E38" s="1" t="s">
        <v>189</v>
      </c>
      <c r="F38" s="1" t="s">
        <v>190</v>
      </c>
      <c r="G38" s="1" t="s">
        <v>191</v>
      </c>
      <c r="H38" s="1" t="s">
        <v>192</v>
      </c>
      <c r="I38" s="1" t="s">
        <v>193</v>
      </c>
      <c r="J38" s="1" t="s">
        <v>194</v>
      </c>
    </row>
    <row r="39" spans="1:10" ht="15" x14ac:dyDescent="0.25">
      <c r="A39" s="1"/>
      <c r="B39" s="1" t="s">
        <v>107</v>
      </c>
      <c r="C39" s="1"/>
      <c r="D39" s="1" t="s">
        <v>45</v>
      </c>
      <c r="E39" s="1" t="s">
        <v>46</v>
      </c>
      <c r="F39" s="1" t="s">
        <v>42</v>
      </c>
      <c r="G39" s="1" t="s">
        <v>42</v>
      </c>
      <c r="H39" s="1" t="s">
        <v>195</v>
      </c>
      <c r="I39" s="1" t="s">
        <v>42</v>
      </c>
      <c r="J39" s="1" t="s">
        <v>42</v>
      </c>
    </row>
    <row r="40" spans="1:10" ht="15" x14ac:dyDescent="0.25">
      <c r="A40" s="1" t="s">
        <v>196</v>
      </c>
      <c r="B40" s="1" t="s">
        <v>197</v>
      </c>
      <c r="C40" s="2">
        <v>2007</v>
      </c>
      <c r="D40" s="1" t="s">
        <v>45</v>
      </c>
      <c r="E40" s="1" t="s">
        <v>198</v>
      </c>
      <c r="F40" s="1" t="s">
        <v>42</v>
      </c>
      <c r="G40" s="1" t="s">
        <v>42</v>
      </c>
      <c r="H40" s="1" t="s">
        <v>77</v>
      </c>
      <c r="I40" s="1" t="s">
        <v>181</v>
      </c>
      <c r="J40" s="1" t="s">
        <v>42</v>
      </c>
    </row>
    <row r="41" spans="1:10" ht="15" x14ac:dyDescent="0.25">
      <c r="A41" s="1"/>
      <c r="B41" s="1" t="s">
        <v>199</v>
      </c>
      <c r="C41" s="1"/>
      <c r="D41" s="1" t="s">
        <v>40</v>
      </c>
      <c r="E41" s="1" t="s">
        <v>41</v>
      </c>
      <c r="F41" s="1" t="s">
        <v>42</v>
      </c>
      <c r="G41" s="1" t="s">
        <v>42</v>
      </c>
      <c r="H41" s="1" t="s">
        <v>42</v>
      </c>
      <c r="I41" s="1" t="s">
        <v>42</v>
      </c>
      <c r="J41" s="1" t="s">
        <v>42</v>
      </c>
    </row>
    <row r="42" spans="1:10" ht="15" x14ac:dyDescent="0.25">
      <c r="A42" s="1"/>
      <c r="B42" s="1" t="s">
        <v>107</v>
      </c>
      <c r="C42" s="1"/>
      <c r="D42" s="1" t="s">
        <v>200</v>
      </c>
      <c r="E42" s="1" t="s">
        <v>201</v>
      </c>
      <c r="F42" s="1" t="s">
        <v>202</v>
      </c>
      <c r="G42" s="1" t="s">
        <v>203</v>
      </c>
      <c r="H42" s="1" t="s">
        <v>204</v>
      </c>
      <c r="I42" s="1" t="s">
        <v>205</v>
      </c>
      <c r="J42" s="1" t="s">
        <v>127</v>
      </c>
    </row>
    <row r="43" spans="1:10" ht="15" x14ac:dyDescent="0.25">
      <c r="A43" s="1" t="s">
        <v>206</v>
      </c>
      <c r="B43" s="1" t="s">
        <v>182</v>
      </c>
      <c r="C43" s="2">
        <v>2007</v>
      </c>
      <c r="D43" s="1" t="s">
        <v>207</v>
      </c>
      <c r="E43" s="1" t="s">
        <v>117</v>
      </c>
      <c r="F43" s="1" t="s">
        <v>42</v>
      </c>
      <c r="G43" s="1" t="s">
        <v>42</v>
      </c>
      <c r="H43" s="1" t="s">
        <v>55</v>
      </c>
      <c r="I43" s="1" t="s">
        <v>181</v>
      </c>
      <c r="J43" s="1" t="s">
        <v>42</v>
      </c>
    </row>
    <row r="44" spans="1:10" ht="15" x14ac:dyDescent="0.25">
      <c r="A44" s="1"/>
      <c r="B44" s="1" t="s">
        <v>197</v>
      </c>
      <c r="C44" s="1"/>
      <c r="D44" s="1" t="s">
        <v>105</v>
      </c>
      <c r="E44" s="1" t="s">
        <v>106</v>
      </c>
      <c r="F44" s="1" t="s">
        <v>42</v>
      </c>
      <c r="G44" s="1" t="s">
        <v>42</v>
      </c>
      <c r="H44" s="1" t="s">
        <v>55</v>
      </c>
      <c r="I44" s="1" t="s">
        <v>42</v>
      </c>
      <c r="J44" s="1" t="s">
        <v>42</v>
      </c>
    </row>
    <row r="45" spans="1:10" ht="15" x14ac:dyDescent="0.25">
      <c r="A45" s="1"/>
      <c r="B45" s="1" t="s">
        <v>199</v>
      </c>
      <c r="C45" s="1"/>
      <c r="D45" s="1" t="s">
        <v>105</v>
      </c>
      <c r="E45" s="1" t="s">
        <v>106</v>
      </c>
      <c r="F45" s="1" t="s">
        <v>42</v>
      </c>
      <c r="G45" s="1" t="s">
        <v>42</v>
      </c>
      <c r="H45" s="1" t="s">
        <v>42</v>
      </c>
      <c r="I45" s="1" t="s">
        <v>42</v>
      </c>
      <c r="J45" s="1" t="s">
        <v>42</v>
      </c>
    </row>
    <row r="46" spans="1:10" ht="15" x14ac:dyDescent="0.25">
      <c r="A46" s="1"/>
      <c r="B46" s="1" t="s">
        <v>107</v>
      </c>
      <c r="C46" s="1"/>
      <c r="D46" s="1" t="s">
        <v>200</v>
      </c>
      <c r="E46" s="1" t="s">
        <v>201</v>
      </c>
      <c r="F46" s="1" t="s">
        <v>202</v>
      </c>
      <c r="G46" s="1" t="s">
        <v>203</v>
      </c>
      <c r="H46" s="1" t="s">
        <v>204</v>
      </c>
      <c r="I46" s="1" t="s">
        <v>205</v>
      </c>
      <c r="J46" s="1" t="s">
        <v>127</v>
      </c>
    </row>
    <row r="47" spans="1:10" ht="15" x14ac:dyDescent="0.25">
      <c r="A47" s="1" t="s">
        <v>208</v>
      </c>
      <c r="B47" s="1" t="s">
        <v>179</v>
      </c>
      <c r="C47" s="2">
        <v>2007</v>
      </c>
      <c r="D47" s="1" t="s">
        <v>209</v>
      </c>
      <c r="E47" s="1" t="s">
        <v>210</v>
      </c>
      <c r="F47" s="1" t="s">
        <v>53</v>
      </c>
      <c r="G47" s="1" t="s">
        <v>211</v>
      </c>
      <c r="H47" s="1" t="s">
        <v>212</v>
      </c>
      <c r="I47" s="1" t="s">
        <v>213</v>
      </c>
      <c r="J47" s="1" t="s">
        <v>93</v>
      </c>
    </row>
    <row r="48" spans="1:10" ht="15" x14ac:dyDescent="0.25">
      <c r="A48" s="1"/>
      <c r="B48" s="1" t="s">
        <v>182</v>
      </c>
      <c r="C48" s="1"/>
      <c r="D48" s="1" t="s">
        <v>214</v>
      </c>
      <c r="E48" s="1" t="s">
        <v>215</v>
      </c>
      <c r="F48" s="1" t="s">
        <v>216</v>
      </c>
      <c r="G48" s="1" t="s">
        <v>97</v>
      </c>
      <c r="H48" s="1" t="s">
        <v>217</v>
      </c>
      <c r="I48" s="1" t="s">
        <v>218</v>
      </c>
      <c r="J48" s="1" t="s">
        <v>219</v>
      </c>
    </row>
    <row r="49" spans="1:10" ht="15" x14ac:dyDescent="0.25">
      <c r="A49" s="1"/>
      <c r="B49" s="1" t="s">
        <v>220</v>
      </c>
      <c r="C49" s="1"/>
      <c r="D49" s="1" t="s">
        <v>221</v>
      </c>
      <c r="E49" s="1" t="s">
        <v>222</v>
      </c>
      <c r="F49" s="1" t="s">
        <v>47</v>
      </c>
      <c r="G49" s="1" t="s">
        <v>103</v>
      </c>
      <c r="H49" s="1" t="s">
        <v>223</v>
      </c>
      <c r="I49" s="1" t="s">
        <v>48</v>
      </c>
      <c r="J49" s="1" t="s">
        <v>42</v>
      </c>
    </row>
    <row r="50" spans="1:10" ht="15" x14ac:dyDescent="0.25">
      <c r="A50" s="1"/>
      <c r="B50" s="1" t="s">
        <v>107</v>
      </c>
      <c r="C50" s="1"/>
      <c r="D50" s="1" t="s">
        <v>224</v>
      </c>
      <c r="E50" s="1" t="s">
        <v>225</v>
      </c>
      <c r="F50" s="1" t="s">
        <v>226</v>
      </c>
      <c r="G50" s="1" t="s">
        <v>144</v>
      </c>
      <c r="H50" s="1" t="s">
        <v>227</v>
      </c>
      <c r="I50" s="1" t="s">
        <v>42</v>
      </c>
      <c r="J50" s="1" t="s">
        <v>228</v>
      </c>
    </row>
    <row r="51" spans="1:10" ht="15" x14ac:dyDescent="0.25">
      <c r="A51" s="1" t="s">
        <v>229</v>
      </c>
      <c r="B51" s="1" t="s">
        <v>179</v>
      </c>
      <c r="C51" s="2">
        <v>2007</v>
      </c>
      <c r="D51" s="1" t="s">
        <v>230</v>
      </c>
      <c r="E51" s="1" t="s">
        <v>231</v>
      </c>
      <c r="F51" s="1" t="s">
        <v>102</v>
      </c>
      <c r="G51" s="1" t="s">
        <v>54</v>
      </c>
      <c r="H51" s="1" t="s">
        <v>55</v>
      </c>
      <c r="I51" s="1" t="s">
        <v>232</v>
      </c>
      <c r="J51" s="1" t="s">
        <v>49</v>
      </c>
    </row>
    <row r="52" spans="1:10" ht="15" x14ac:dyDescent="0.25">
      <c r="A52" s="1"/>
      <c r="B52" s="1" t="s">
        <v>233</v>
      </c>
      <c r="C52" s="1"/>
      <c r="D52" s="1" t="s">
        <v>234</v>
      </c>
      <c r="E52" s="1" t="s">
        <v>235</v>
      </c>
      <c r="F52" s="1" t="s">
        <v>236</v>
      </c>
      <c r="G52" s="1" t="s">
        <v>237</v>
      </c>
      <c r="H52" s="1" t="s">
        <v>238</v>
      </c>
      <c r="I52" s="1" t="s">
        <v>239</v>
      </c>
      <c r="J52" s="1" t="s">
        <v>240</v>
      </c>
    </row>
    <row r="53" spans="1:10" ht="15" x14ac:dyDescent="0.25">
      <c r="A53" s="1"/>
      <c r="B53" s="1" t="s">
        <v>241</v>
      </c>
      <c r="C53" s="1"/>
      <c r="D53" s="1" t="s">
        <v>242</v>
      </c>
      <c r="E53" s="1" t="s">
        <v>243</v>
      </c>
      <c r="F53" s="1" t="s">
        <v>42</v>
      </c>
      <c r="G53" s="1" t="s">
        <v>119</v>
      </c>
      <c r="H53" s="1" t="s">
        <v>77</v>
      </c>
      <c r="I53" s="1" t="s">
        <v>104</v>
      </c>
      <c r="J53" s="1" t="s">
        <v>49</v>
      </c>
    </row>
    <row r="54" spans="1:10" ht="15" x14ac:dyDescent="0.25">
      <c r="A54" s="1"/>
      <c r="B54" s="1" t="s">
        <v>244</v>
      </c>
      <c r="C54" s="1"/>
      <c r="D54" s="1" t="s">
        <v>245</v>
      </c>
      <c r="E54" s="1" t="s">
        <v>246</v>
      </c>
      <c r="F54" s="1" t="s">
        <v>247</v>
      </c>
      <c r="G54" s="1" t="s">
        <v>113</v>
      </c>
      <c r="H54" s="1" t="s">
        <v>145</v>
      </c>
      <c r="I54" s="1" t="s">
        <v>48</v>
      </c>
      <c r="J54" s="1" t="s">
        <v>228</v>
      </c>
    </row>
    <row r="55" spans="1:10" ht="15" x14ac:dyDescent="0.25">
      <c r="A55" s="1"/>
      <c r="B55" s="1" t="s">
        <v>107</v>
      </c>
      <c r="C55" s="1"/>
      <c r="D55" s="1" t="s">
        <v>248</v>
      </c>
      <c r="E55" s="1" t="s">
        <v>198</v>
      </c>
      <c r="F55" s="1" t="s">
        <v>42</v>
      </c>
      <c r="G55" s="1" t="s">
        <v>103</v>
      </c>
      <c r="H55" s="1" t="s">
        <v>42</v>
      </c>
      <c r="I55" s="1" t="s">
        <v>48</v>
      </c>
      <c r="J55" s="1" t="s">
        <v>42</v>
      </c>
    </row>
    <row r="56" spans="1:10" ht="15" x14ac:dyDescent="0.25">
      <c r="A56" s="1" t="s">
        <v>249</v>
      </c>
      <c r="B56" s="1" t="s">
        <v>179</v>
      </c>
      <c r="C56" s="2">
        <v>2007</v>
      </c>
      <c r="D56" s="1" t="s">
        <v>75</v>
      </c>
      <c r="E56" s="1" t="s">
        <v>76</v>
      </c>
      <c r="F56" s="1" t="s">
        <v>102</v>
      </c>
      <c r="G56" s="1" t="s">
        <v>103</v>
      </c>
      <c r="H56" s="1" t="s">
        <v>55</v>
      </c>
      <c r="I56" s="1" t="s">
        <v>81</v>
      </c>
      <c r="J56" s="1" t="s">
        <v>49</v>
      </c>
    </row>
    <row r="57" spans="1:10" ht="15" x14ac:dyDescent="0.25">
      <c r="A57" s="1"/>
      <c r="B57" s="1" t="s">
        <v>233</v>
      </c>
      <c r="C57" s="1"/>
      <c r="D57" s="1" t="s">
        <v>250</v>
      </c>
      <c r="E57" s="1" t="s">
        <v>251</v>
      </c>
      <c r="F57" s="1" t="s">
        <v>89</v>
      </c>
      <c r="G57" s="1" t="s">
        <v>252</v>
      </c>
      <c r="H57" s="1" t="s">
        <v>253</v>
      </c>
      <c r="I57" s="1" t="s">
        <v>254</v>
      </c>
      <c r="J57" s="1" t="s">
        <v>240</v>
      </c>
    </row>
    <row r="58" spans="1:10" ht="15" x14ac:dyDescent="0.25">
      <c r="A58" s="1"/>
      <c r="B58" s="1" t="s">
        <v>255</v>
      </c>
      <c r="C58" s="1"/>
      <c r="D58" s="1" t="s">
        <v>256</v>
      </c>
      <c r="E58" s="1" t="s">
        <v>257</v>
      </c>
      <c r="F58" s="1" t="s">
        <v>42</v>
      </c>
      <c r="G58" s="1" t="s">
        <v>119</v>
      </c>
      <c r="H58" s="1" t="s">
        <v>77</v>
      </c>
      <c r="I58" s="1" t="s">
        <v>258</v>
      </c>
      <c r="J58" s="1" t="s">
        <v>49</v>
      </c>
    </row>
    <row r="59" spans="1:10" ht="15" x14ac:dyDescent="0.25">
      <c r="A59" s="1"/>
      <c r="B59" s="1" t="s">
        <v>244</v>
      </c>
      <c r="C59" s="1"/>
      <c r="D59" s="1" t="s">
        <v>259</v>
      </c>
      <c r="E59" s="1" t="s">
        <v>246</v>
      </c>
      <c r="F59" s="1" t="s">
        <v>96</v>
      </c>
      <c r="G59" s="1" t="s">
        <v>260</v>
      </c>
      <c r="H59" s="1" t="s">
        <v>261</v>
      </c>
      <c r="I59" s="1" t="s">
        <v>48</v>
      </c>
      <c r="J59" s="1" t="s">
        <v>228</v>
      </c>
    </row>
    <row r="60" spans="1:10" ht="15" x14ac:dyDescent="0.25">
      <c r="A60" s="1"/>
      <c r="B60" s="1" t="s">
        <v>107</v>
      </c>
      <c r="C60" s="1"/>
      <c r="D60" s="1" t="s">
        <v>79</v>
      </c>
      <c r="E60" s="1" t="s">
        <v>80</v>
      </c>
      <c r="F60" s="1" t="s">
        <v>42</v>
      </c>
      <c r="G60" s="1" t="s">
        <v>42</v>
      </c>
      <c r="H60" s="1" t="s">
        <v>55</v>
      </c>
      <c r="I60" s="1" t="s">
        <v>81</v>
      </c>
      <c r="J60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"/>
  <sheetViews>
    <sheetView workbookViewId="0">
      <selection activeCell="C2" sqref="C2"/>
    </sheetView>
  </sheetViews>
  <sheetFormatPr defaultColWidth="18.140625" defaultRowHeight="15.75" customHeight="1" x14ac:dyDescent="0.2"/>
  <cols>
    <col min="2" max="2" width="9.42578125" customWidth="1"/>
    <col min="3" max="7" width="24.140625" customWidth="1"/>
  </cols>
  <sheetData>
    <row r="1" spans="1:7" ht="15.75" customHeight="1" x14ac:dyDescent="0.25">
      <c r="A1" s="1" t="s">
        <v>262</v>
      </c>
      <c r="B1" s="4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</row>
    <row r="2" spans="1:7" ht="15.75" customHeight="1" x14ac:dyDescent="0.25">
      <c r="A2" s="1" t="s">
        <v>1</v>
      </c>
      <c r="B2" s="4">
        <v>1405</v>
      </c>
      <c r="C2" s="1" t="s">
        <v>269</v>
      </c>
      <c r="D2" s="1" t="s">
        <v>270</v>
      </c>
      <c r="E2" s="1" t="s">
        <v>271</v>
      </c>
      <c r="F2" s="1" t="s">
        <v>272</v>
      </c>
      <c r="G2" s="1" t="s">
        <v>273</v>
      </c>
    </row>
    <row r="3" spans="1:7" ht="15.75" customHeight="1" x14ac:dyDescent="0.25">
      <c r="A3" s="1" t="s">
        <v>274</v>
      </c>
      <c r="B3" s="4">
        <v>35</v>
      </c>
      <c r="C3" s="1" t="s">
        <v>275</v>
      </c>
      <c r="D3" s="1" t="s">
        <v>276</v>
      </c>
      <c r="E3" s="1" t="s">
        <v>277</v>
      </c>
      <c r="F3" s="1" t="s">
        <v>278</v>
      </c>
      <c r="G3" s="1" t="s">
        <v>273</v>
      </c>
    </row>
    <row r="4" spans="1:7" ht="15.75" customHeight="1" x14ac:dyDescent="0.25">
      <c r="A4" s="1" t="s">
        <v>279</v>
      </c>
      <c r="B4" s="4">
        <v>15</v>
      </c>
      <c r="C4" s="1" t="s">
        <v>280</v>
      </c>
      <c r="D4" s="1" t="s">
        <v>281</v>
      </c>
      <c r="E4" s="1" t="s">
        <v>282</v>
      </c>
      <c r="F4" s="1" t="s">
        <v>283</v>
      </c>
      <c r="G4" s="1" t="s">
        <v>273</v>
      </c>
    </row>
    <row r="5" spans="1:7" ht="15.75" customHeight="1" x14ac:dyDescent="0.25">
      <c r="A5" s="1" t="s">
        <v>284</v>
      </c>
      <c r="B5" s="4">
        <v>82</v>
      </c>
      <c r="C5" s="1" t="s">
        <v>285</v>
      </c>
      <c r="D5" s="1" t="s">
        <v>286</v>
      </c>
      <c r="E5" s="1" t="s">
        <v>287</v>
      </c>
      <c r="F5" s="1" t="s">
        <v>288</v>
      </c>
      <c r="G5" s="1" t="s">
        <v>273</v>
      </c>
    </row>
    <row r="6" spans="1:7" ht="15.75" customHeight="1" x14ac:dyDescent="0.25">
      <c r="A6" s="1" t="s">
        <v>5</v>
      </c>
      <c r="B6" s="4">
        <v>2</v>
      </c>
      <c r="C6" s="1" t="s">
        <v>289</v>
      </c>
      <c r="D6" s="1" t="s">
        <v>290</v>
      </c>
      <c r="E6" s="1" t="s">
        <v>291</v>
      </c>
      <c r="F6" s="1" t="s">
        <v>292</v>
      </c>
      <c r="G6" s="4">
        <v>0.29520000000000002</v>
      </c>
    </row>
    <row r="7" spans="1:7" ht="15.75" customHeight="1" x14ac:dyDescent="0.25">
      <c r="A7" s="1" t="s">
        <v>6</v>
      </c>
      <c r="B7" s="4">
        <v>33</v>
      </c>
      <c r="C7" s="1" t="s">
        <v>293</v>
      </c>
      <c r="D7" s="1" t="s">
        <v>294</v>
      </c>
      <c r="E7" s="1" t="s">
        <v>295</v>
      </c>
      <c r="F7" s="1" t="s">
        <v>296</v>
      </c>
      <c r="G7" s="1" t="s">
        <v>273</v>
      </c>
    </row>
    <row r="8" spans="1:7" ht="15.75" customHeight="1" x14ac:dyDescent="0.2">
      <c r="B8">
        <f>SUM(B2:B7)</f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pain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 Metlapalli</dc:creator>
  <cp:lastModifiedBy>Prabhakar Metlapalli</cp:lastModifiedBy>
  <dcterms:created xsi:type="dcterms:W3CDTF">2026-07-02T00:29:05Z</dcterms:created>
  <dcterms:modified xsi:type="dcterms:W3CDTF">2026-07-03T17:53:18Z</dcterms:modified>
</cp:coreProperties>
</file>